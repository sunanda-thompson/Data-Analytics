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nanda\Desktop\All Things Data\Messy-Data-Cleaning-Project\"/>
    </mc:Choice>
  </mc:AlternateContent>
  <xr:revisionPtr revIDLastSave="0" documentId="13_ncr:1_{C9A51A5B-C255-41DB-A081-8520B3F77535}" xr6:coauthVersionLast="47" xr6:coauthVersionMax="47" xr10:uidLastSave="{00000000-0000-0000-0000-000000000000}"/>
  <bookViews>
    <workbookView xWindow="390" yWindow="390" windowWidth="13050" windowHeight="11385" xr2:uid="{00000000-000D-0000-FFFF-FFFF00000000}"/>
  </bookViews>
  <sheets>
    <sheet name="Sales_Data_RAW" sheetId="1" r:id="rId1"/>
    <sheet name="Product_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O19" i="1"/>
  <c r="O18" i="1"/>
  <c r="O17" i="1"/>
  <c r="O16" i="1"/>
  <c r="O15" i="1"/>
  <c r="O14" i="1"/>
  <c r="O13" i="1"/>
  <c r="O12" i="1"/>
  <c r="O11" i="1"/>
  <c r="O10" i="1"/>
  <c r="O9" i="1"/>
  <c r="O8" i="1"/>
  <c r="O6" i="1"/>
  <c r="O5" i="1"/>
  <c r="O3" i="1"/>
  <c r="O2" i="1"/>
  <c r="O20" i="1"/>
  <c r="K21" i="1"/>
</calcChain>
</file>

<file path=xl/sharedStrings.xml><?xml version="1.0" encoding="utf-8"?>
<sst xmlns="http://schemas.openxmlformats.org/spreadsheetml/2006/main" count="391" uniqueCount="242">
  <si>
    <t>Customer ID</t>
  </si>
  <si>
    <t xml:space="preserve">customer_name </t>
  </si>
  <si>
    <t>CUSTOMER NAME</t>
  </si>
  <si>
    <t xml:space="preserve">  email  </t>
  </si>
  <si>
    <t>Phone Number</t>
  </si>
  <si>
    <t>phone#</t>
  </si>
  <si>
    <t>Purchase Date</t>
  </si>
  <si>
    <t>purchase_date</t>
  </si>
  <si>
    <t>Product</t>
  </si>
  <si>
    <t>Product Name</t>
  </si>
  <si>
    <t>Qty</t>
  </si>
  <si>
    <t>quantity</t>
  </si>
  <si>
    <t>Unit Price ($)</t>
  </si>
  <si>
    <t>unit_price</t>
  </si>
  <si>
    <t>Total</t>
  </si>
  <si>
    <t>Revenue</t>
  </si>
  <si>
    <t>Region</t>
  </si>
  <si>
    <t>STATE</t>
  </si>
  <si>
    <t>Country</t>
  </si>
  <si>
    <t>Sales Rep</t>
  </si>
  <si>
    <t>sales_rep_id</t>
  </si>
  <si>
    <t>Customer_Type</t>
  </si>
  <si>
    <t>Discount%</t>
  </si>
  <si>
    <t>Payment Method</t>
  </si>
  <si>
    <t>Status</t>
  </si>
  <si>
    <t>C001</t>
  </si>
  <si>
    <t>John Smith</t>
  </si>
  <si>
    <t>john.smith@email.com</t>
  </si>
  <si>
    <t>555-123-4567</t>
  </si>
  <si>
    <t>2024-01-15</t>
  </si>
  <si>
    <t>Laptop Pro 15</t>
  </si>
  <si>
    <t>2</t>
  </si>
  <si>
    <t>$1,299.99</t>
  </si>
  <si>
    <t>North</t>
  </si>
  <si>
    <t>TX</t>
  </si>
  <si>
    <t>USA</t>
  </si>
  <si>
    <t>Sarah Johnson</t>
  </si>
  <si>
    <t>REP-04</t>
  </si>
  <si>
    <t>Enterprise</t>
  </si>
  <si>
    <t>15%</t>
  </si>
  <si>
    <t>Credit Card</t>
  </si>
  <si>
    <t>Completed</t>
  </si>
  <si>
    <t>C002</t>
  </si>
  <si>
    <t>jane doe</t>
  </si>
  <si>
    <t>JANE DOE</t>
  </si>
  <si>
    <t>JANE.DOE@GMAIL.COM</t>
  </si>
  <si>
    <t>(555) 234 5678</t>
  </si>
  <si>
    <t>01/22/2024</t>
  </si>
  <si>
    <t>2024-01-22</t>
  </si>
  <si>
    <t>Wireless Mouse</t>
  </si>
  <si>
    <t>5</t>
  </si>
  <si>
    <t>29.99</t>
  </si>
  <si>
    <t>California</t>
  </si>
  <si>
    <t>US</t>
  </si>
  <si>
    <t>Mike Chen</t>
  </si>
  <si>
    <t>SMB</t>
  </si>
  <si>
    <t>0%</t>
  </si>
  <si>
    <t>paypal</t>
  </si>
  <si>
    <t>completed</t>
  </si>
  <si>
    <t>C003</t>
  </si>
  <si>
    <t>Bob O'Brien</t>
  </si>
  <si>
    <t>bob_obrien@company.net</t>
  </si>
  <si>
    <t>5553456789</t>
  </si>
  <si>
    <t>Jan 30 2024</t>
  </si>
  <si>
    <t>USB-C Hub</t>
  </si>
  <si>
    <t>1</t>
  </si>
  <si>
    <t>79.99</t>
  </si>
  <si>
    <t>South</t>
  </si>
  <si>
    <t>FL</t>
  </si>
  <si>
    <t>REP-07</t>
  </si>
  <si>
    <t>Wire Transfer</t>
  </si>
  <si>
    <t>COMPLETED</t>
  </si>
  <si>
    <t>C004</t>
  </si>
  <si>
    <t xml:space="preserve">  Maria Garcia  </t>
  </si>
  <si>
    <t xml:space="preserve">  maria@garcia.mx  </t>
  </si>
  <si>
    <t>555.456.7890</t>
  </si>
  <si>
    <t>2024-02-05</t>
  </si>
  <si>
    <t>Monitor 27"</t>
  </si>
  <si>
    <t>-1</t>
  </si>
  <si>
    <t>349.99</t>
  </si>
  <si>
    <t>West</t>
  </si>
  <si>
    <t>wa</t>
  </si>
  <si>
    <t>Lisa Park</t>
  </si>
  <si>
    <t>REP-02</t>
  </si>
  <si>
    <t>Consumer</t>
  </si>
  <si>
    <t>10%</t>
  </si>
  <si>
    <t>Returned</t>
  </si>
  <si>
    <t>C005</t>
  </si>
  <si>
    <t>Wei Zhang</t>
  </si>
  <si>
    <t>wei.zhang@corp.com</t>
  </si>
  <si>
    <t>555-567-8901</t>
  </si>
  <si>
    <t>2/14/2024</t>
  </si>
  <si>
    <t>Keyboard Mech</t>
  </si>
  <si>
    <t>three</t>
  </si>
  <si>
    <t>one hundred and twenty</t>
  </si>
  <si>
    <t>360.00</t>
  </si>
  <si>
    <t>East</t>
  </si>
  <si>
    <t>NY</t>
  </si>
  <si>
    <t>REP-01</t>
  </si>
  <si>
    <t>5%</t>
  </si>
  <si>
    <t>Check</t>
  </si>
  <si>
    <t>Pending</t>
  </si>
  <si>
    <t>C006</t>
  </si>
  <si>
    <t>NULL</t>
  </si>
  <si>
    <t>N/A</t>
  </si>
  <si>
    <t>2024-02-20</t>
  </si>
  <si>
    <t>Webcam HD</t>
  </si>
  <si>
    <t>89.99</t>
  </si>
  <si>
    <t>United States</t>
  </si>
  <si>
    <t>Tom Wilson</t>
  </si>
  <si>
    <t>REP-03</t>
  </si>
  <si>
    <t>20%</t>
  </si>
  <si>
    <t>C007</t>
  </si>
  <si>
    <t>Ahmed Hassan</t>
  </si>
  <si>
    <t>ahmed@hassan.ae</t>
  </si>
  <si>
    <t>+1-555-678-9012</t>
  </si>
  <si>
    <t>45337</t>
  </si>
  <si>
    <t>Standing Desk</t>
  </si>
  <si>
    <t>599.99</t>
  </si>
  <si>
    <t>0.10</t>
  </si>
  <si>
    <t>Bank Transfer</t>
  </si>
  <si>
    <t>Shipped</t>
  </si>
  <si>
    <t>C008</t>
  </si>
  <si>
    <t>&lt;b&gt;Emma Wilson&lt;/b&gt;</t>
  </si>
  <si>
    <t>emma@wilson.co.uk</t>
  </si>
  <si>
    <t>555-789-0123</t>
  </si>
  <si>
    <t>2024-03-01</t>
  </si>
  <si>
    <t>1,299.99</t>
  </si>
  <si>
    <t>OR</t>
  </si>
  <si>
    <t>UK</t>
  </si>
  <si>
    <t>C009</t>
  </si>
  <si>
    <t>Carlos Mendez</t>
  </si>
  <si>
    <t>carlos.mendez@biz.es</t>
  </si>
  <si>
    <t>555-890-1234</t>
  </si>
  <si>
    <t>03-10-2024</t>
  </si>
  <si>
    <t>€349.99</t>
  </si>
  <si>
    <t>MA</t>
  </si>
  <si>
    <t>REP-05</t>
  </si>
  <si>
    <t>C010</t>
  </si>
  <si>
    <t>PRIYA PATEL</t>
  </si>
  <si>
    <t>PRIYA.PATEL@STARTUP.IO</t>
  </si>
  <si>
    <t xml:space="preserve">  555-901-2345  </t>
  </si>
  <si>
    <t>2024-03-15</t>
  </si>
  <si>
    <t>WEBCAM HD</t>
  </si>
  <si>
    <t>3</t>
  </si>
  <si>
    <t>$89.99</t>
  </si>
  <si>
    <t>WEST</t>
  </si>
  <si>
    <t>CA</t>
  </si>
  <si>
    <t>SARAH JOHNSON</t>
  </si>
  <si>
    <t>ENTERPRISE</t>
  </si>
  <si>
    <t>CREDIT CARD</t>
  </si>
  <si>
    <t>C011</t>
  </si>
  <si>
    <t>Liam O'Connor</t>
  </si>
  <si>
    <t>liam.o'connor@mail.ie</t>
  </si>
  <si>
    <t>555-012-3456</t>
  </si>
  <si>
    <t>2024-03-22</t>
  </si>
  <si>
    <t>IL</t>
  </si>
  <si>
    <t>PayPal</t>
  </si>
  <si>
    <t>Processing</t>
  </si>
  <si>
    <t>C012</t>
  </si>
  <si>
    <t>Sophie Martin</t>
  </si>
  <si>
    <t>sophie.martin@france.fr</t>
  </si>
  <si>
    <t>555-123-9999</t>
  </si>
  <si>
    <t>2025-12-31</t>
  </si>
  <si>
    <t>120.00</t>
  </si>
  <si>
    <t>150%</t>
  </si>
  <si>
    <t>C013</t>
  </si>
  <si>
    <t>Ryan Kim</t>
  </si>
  <si>
    <t>ryan.kim@korea.kr</t>
  </si>
  <si>
    <t>555-234-0000</t>
  </si>
  <si>
    <t>2024-04-01</t>
  </si>
  <si>
    <t>Mouse Pad XL</t>
  </si>
  <si>
    <t>0</t>
  </si>
  <si>
    <t>WA</t>
  </si>
  <si>
    <t>C014</t>
  </si>
  <si>
    <t>Isabella Brown</t>
  </si>
  <si>
    <t>isabella@brown.com</t>
  </si>
  <si>
    <t>555-345-1111</t>
  </si>
  <si>
    <t>2024-04-10</t>
  </si>
  <si>
    <t>Nroth</t>
  </si>
  <si>
    <t>Texass</t>
  </si>
  <si>
    <t>United States of America</t>
  </si>
  <si>
    <t>Enteprise</t>
  </si>
  <si>
    <t>Complete</t>
  </si>
  <si>
    <t>C015</t>
  </si>
  <si>
    <t>555-456-2222</t>
  </si>
  <si>
    <t>2024-04-15</t>
  </si>
  <si>
    <t>1299.99</t>
  </si>
  <si>
    <t>REP-06</t>
  </si>
  <si>
    <t>j.smith_personal@hotmail.com</t>
  </si>
  <si>
    <t>2024-04-20</t>
  </si>
  <si>
    <t>C016</t>
  </si>
  <si>
    <t>David Lee</t>
  </si>
  <si>
    <t>david.lee@company.com</t>
  </si>
  <si>
    <t>555-567-3333</t>
  </si>
  <si>
    <t>2024-05-01</t>
  </si>
  <si>
    <t>-29.99</t>
  </si>
  <si>
    <t>CT</t>
  </si>
  <si>
    <t>Refunded</t>
  </si>
  <si>
    <t>C017</t>
  </si>
  <si>
    <t>Nadia Russo</t>
  </si>
  <si>
    <t>nadia.russo@italy.it</t>
  </si>
  <si>
    <t>555-678-4444</t>
  </si>
  <si>
    <t>2024-05-10</t>
  </si>
  <si>
    <t>Labtop Pro 15</t>
  </si>
  <si>
    <t>NV</t>
  </si>
  <si>
    <t>TOTAL</t>
  </si>
  <si>
    <t>???</t>
  </si>
  <si>
    <t>TEST ENTRY - DELETE</t>
  </si>
  <si>
    <t>test@test.test</t>
  </si>
  <si>
    <t>0000000000</t>
  </si>
  <si>
    <t>1900-01-01</t>
  </si>
  <si>
    <t>TBD</t>
  </si>
  <si>
    <t>999</t>
  </si>
  <si>
    <t>999.99</t>
  </si>
  <si>
    <t>999999</t>
  </si>
  <si>
    <t>ZZ</t>
  </si>
  <si>
    <t>?</t>
  </si>
  <si>
    <t>Admin</t>
  </si>
  <si>
    <t>REP-00</t>
  </si>
  <si>
    <t>Unknown</t>
  </si>
  <si>
    <t>99%</t>
  </si>
  <si>
    <t>Other</t>
  </si>
  <si>
    <t>Error</t>
  </si>
  <si>
    <t>product_name</t>
  </si>
  <si>
    <t>Category</t>
  </si>
  <si>
    <t>MSRP</t>
  </si>
  <si>
    <t>SKU</t>
  </si>
  <si>
    <t>Computers</t>
  </si>
  <si>
    <t>LP-001</t>
  </si>
  <si>
    <t>laptop pro 15</t>
  </si>
  <si>
    <t>Peripherals</t>
  </si>
  <si>
    <t>WM-002</t>
  </si>
  <si>
    <t>Accessories</t>
  </si>
  <si>
    <t>UC-003</t>
  </si>
  <si>
    <t>Displays</t>
  </si>
  <si>
    <t>MN-004</t>
  </si>
  <si>
    <t>KB-005</t>
  </si>
  <si>
    <t>WC-006</t>
  </si>
  <si>
    <t>Furniture</t>
  </si>
  <si>
    <t>SD-007</t>
  </si>
  <si>
    <t>MP-008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</si>
</sst>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topLeftCell="M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3" customWidth="1"/>
    <col min="2" max="2" width="21" customWidth="1"/>
    <col min="3" max="3" width="15" customWidth="1"/>
    <col min="4" max="4" width="30" customWidth="1"/>
    <col min="5" max="5" width="18" customWidth="1"/>
    <col min="6" max="6" width="16" customWidth="1"/>
    <col min="7" max="8" width="15" customWidth="1"/>
    <col min="9" max="10" width="16" customWidth="1"/>
    <col min="11" max="11" width="14" customWidth="1"/>
    <col min="12" max="12" width="10" customWidth="1"/>
    <col min="13" max="13" width="24" customWidth="1"/>
    <col min="14" max="14" width="12" customWidth="1"/>
    <col min="15" max="15" width="14" customWidth="1"/>
    <col min="16" max="16" width="9" customWidth="1"/>
    <col min="17" max="17" width="8" customWidth="1"/>
    <col min="18" max="18" width="12" customWidth="1"/>
    <col min="19" max="19" width="26" customWidth="1"/>
    <col min="20" max="20" width="15" customWidth="1"/>
    <col min="21" max="21" width="14" customWidth="1"/>
    <col min="22" max="22" width="15" customWidth="1"/>
    <col min="23" max="23" width="11" customWidth="1"/>
    <col min="24" max="24" width="16" customWidth="1"/>
    <col min="25" max="25" width="12" customWidth="1"/>
  </cols>
  <sheetData>
    <row r="1" spans="1:25" x14ac:dyDescent="0.2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D2" t="s">
        <v>27</v>
      </c>
      <c r="E2" t="s">
        <v>28</v>
      </c>
      <c r="G2" t="s">
        <v>29</v>
      </c>
      <c r="I2" t="s">
        <v>30</v>
      </c>
      <c r="K2" t="s">
        <v>31</v>
      </c>
      <c r="M2" t="s">
        <v>32</v>
      </c>
      <c r="O2">
        <f>M3*K3</f>
        <v>0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</row>
    <row r="3" spans="1:25" x14ac:dyDescent="0.25">
      <c r="A3" t="s">
        <v>42</v>
      </c>
      <c r="B3" t="s">
        <v>43</v>
      </c>
      <c r="C3" t="s">
        <v>44</v>
      </c>
      <c r="D3" t="s">
        <v>45</v>
      </c>
      <c r="F3" t="s">
        <v>46</v>
      </c>
      <c r="G3" t="s">
        <v>47</v>
      </c>
      <c r="H3" t="s">
        <v>48</v>
      </c>
      <c r="J3" t="s">
        <v>49</v>
      </c>
      <c r="L3" t="s">
        <v>50</v>
      </c>
      <c r="N3" t="s">
        <v>51</v>
      </c>
      <c r="O3">
        <f>M4*K4</f>
        <v>79.989999999999995</v>
      </c>
      <c r="R3" t="s">
        <v>52</v>
      </c>
      <c r="S3" t="s">
        <v>53</v>
      </c>
      <c r="T3" t="s">
        <v>54</v>
      </c>
      <c r="V3" t="s">
        <v>55</v>
      </c>
      <c r="W3" t="s">
        <v>56</v>
      </c>
      <c r="X3" t="s">
        <v>57</v>
      </c>
      <c r="Y3" t="s">
        <v>58</v>
      </c>
    </row>
    <row r="4" spans="1:25" x14ac:dyDescent="0.25">
      <c r="A4" t="s">
        <v>59</v>
      </c>
      <c r="B4" t="s">
        <v>60</v>
      </c>
      <c r="D4" t="s">
        <v>61</v>
      </c>
      <c r="E4" t="s">
        <v>62</v>
      </c>
      <c r="G4" t="s">
        <v>63</v>
      </c>
      <c r="I4" t="s">
        <v>64</v>
      </c>
      <c r="K4" t="s">
        <v>65</v>
      </c>
      <c r="M4" t="s">
        <v>66</v>
      </c>
      <c r="P4" t="s">
        <v>66</v>
      </c>
      <c r="Q4" t="s">
        <v>67</v>
      </c>
      <c r="R4" t="s">
        <v>68</v>
      </c>
      <c r="U4" t="s">
        <v>69</v>
      </c>
      <c r="V4" t="s">
        <v>38</v>
      </c>
      <c r="X4" t="s">
        <v>70</v>
      </c>
      <c r="Y4" t="s">
        <v>71</v>
      </c>
    </row>
    <row r="5" spans="1:25" x14ac:dyDescent="0.25">
      <c r="A5" t="s">
        <v>72</v>
      </c>
      <c r="B5" t="s">
        <v>73</v>
      </c>
      <c r="D5" t="s">
        <v>74</v>
      </c>
      <c r="E5" t="s">
        <v>75</v>
      </c>
      <c r="G5" t="s">
        <v>76</v>
      </c>
      <c r="I5" t="s">
        <v>77</v>
      </c>
      <c r="K5" t="s">
        <v>78</v>
      </c>
      <c r="M5" t="s">
        <v>79</v>
      </c>
      <c r="O5">
        <f>M6*K6</f>
        <v>2599.98</v>
      </c>
      <c r="Q5" t="s">
        <v>80</v>
      </c>
      <c r="R5" t="s">
        <v>81</v>
      </c>
      <c r="S5" t="s">
        <v>35</v>
      </c>
      <c r="T5" t="s">
        <v>82</v>
      </c>
      <c r="U5" t="s">
        <v>83</v>
      </c>
      <c r="V5" t="s">
        <v>84</v>
      </c>
      <c r="W5" t="s">
        <v>85</v>
      </c>
      <c r="X5" t="s">
        <v>40</v>
      </c>
      <c r="Y5" t="s">
        <v>86</v>
      </c>
    </row>
    <row r="6" spans="1:25" x14ac:dyDescent="0.25">
      <c r="A6" t="s">
        <v>25</v>
      </c>
      <c r="B6" t="s">
        <v>26</v>
      </c>
      <c r="D6" t="s">
        <v>27</v>
      </c>
      <c r="E6" t="s">
        <v>28</v>
      </c>
      <c r="G6" t="s">
        <v>29</v>
      </c>
      <c r="I6" t="s">
        <v>30</v>
      </c>
      <c r="K6" t="s">
        <v>31</v>
      </c>
      <c r="M6" t="s">
        <v>32</v>
      </c>
      <c r="O6" t="e">
        <f>M7*K7</f>
        <v>#VALUE!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</row>
    <row r="7" spans="1:25" x14ac:dyDescent="0.25">
      <c r="A7" t="s">
        <v>87</v>
      </c>
      <c r="B7" t="s">
        <v>88</v>
      </c>
      <c r="D7" t="s">
        <v>89</v>
      </c>
      <c r="E7" t="s">
        <v>90</v>
      </c>
      <c r="G7" t="s">
        <v>91</v>
      </c>
      <c r="I7" t="s">
        <v>92</v>
      </c>
      <c r="K7" t="s">
        <v>93</v>
      </c>
      <c r="M7" t="s">
        <v>94</v>
      </c>
      <c r="P7" t="s">
        <v>95</v>
      </c>
      <c r="Q7" t="s">
        <v>96</v>
      </c>
      <c r="R7" t="s">
        <v>97</v>
      </c>
      <c r="S7" t="s">
        <v>35</v>
      </c>
      <c r="U7" t="s">
        <v>98</v>
      </c>
      <c r="V7" t="s">
        <v>55</v>
      </c>
      <c r="W7" t="s">
        <v>99</v>
      </c>
      <c r="X7" t="s">
        <v>100</v>
      </c>
      <c r="Y7" t="s">
        <v>101</v>
      </c>
    </row>
    <row r="8" spans="1:25" x14ac:dyDescent="0.25">
      <c r="A8" t="s">
        <v>102</v>
      </c>
      <c r="B8" t="s">
        <v>103</v>
      </c>
      <c r="D8" t="s">
        <v>104</v>
      </c>
      <c r="E8" t="s">
        <v>104</v>
      </c>
      <c r="G8" t="s">
        <v>105</v>
      </c>
      <c r="I8" t="s">
        <v>106</v>
      </c>
      <c r="K8" t="s">
        <v>65</v>
      </c>
      <c r="M8" t="s">
        <v>107</v>
      </c>
      <c r="O8">
        <f t="shared" ref="O8:O20" si="0">M9*K9</f>
        <v>599.99</v>
      </c>
      <c r="Q8" t="s">
        <v>104</v>
      </c>
      <c r="R8" t="s">
        <v>103</v>
      </c>
      <c r="S8" t="s">
        <v>108</v>
      </c>
      <c r="T8" t="s">
        <v>109</v>
      </c>
      <c r="U8" t="s">
        <v>110</v>
      </c>
      <c r="V8" t="e">
        <v>#N/A</v>
      </c>
      <c r="W8" t="s">
        <v>111</v>
      </c>
      <c r="X8" t="s">
        <v>40</v>
      </c>
    </row>
    <row r="9" spans="1:25" x14ac:dyDescent="0.25">
      <c r="A9" t="s">
        <v>112</v>
      </c>
      <c r="B9" t="s">
        <v>113</v>
      </c>
      <c r="D9" t="s">
        <v>114</v>
      </c>
      <c r="E9" t="s">
        <v>115</v>
      </c>
      <c r="G9" t="s">
        <v>116</v>
      </c>
      <c r="I9" t="s">
        <v>117</v>
      </c>
      <c r="K9" t="s">
        <v>65</v>
      </c>
      <c r="M9" t="s">
        <v>118</v>
      </c>
      <c r="O9">
        <f t="shared" si="0"/>
        <v>1299.99</v>
      </c>
      <c r="Q9" t="s">
        <v>67</v>
      </c>
      <c r="R9" t="s">
        <v>34</v>
      </c>
      <c r="S9" t="s">
        <v>35</v>
      </c>
      <c r="T9" t="s">
        <v>36</v>
      </c>
      <c r="U9" t="s">
        <v>37</v>
      </c>
      <c r="V9" t="s">
        <v>38</v>
      </c>
      <c r="W9" t="s">
        <v>119</v>
      </c>
      <c r="X9" t="s">
        <v>120</v>
      </c>
      <c r="Y9" t="s">
        <v>121</v>
      </c>
    </row>
    <row r="10" spans="1:25" x14ac:dyDescent="0.25">
      <c r="A10" t="s">
        <v>122</v>
      </c>
      <c r="B10" t="s">
        <v>123</v>
      </c>
      <c r="D10" t="s">
        <v>124</v>
      </c>
      <c r="E10" t="s">
        <v>125</v>
      </c>
      <c r="G10" t="s">
        <v>126</v>
      </c>
      <c r="I10" t="s">
        <v>30</v>
      </c>
      <c r="K10" t="s">
        <v>65</v>
      </c>
      <c r="M10" t="s">
        <v>127</v>
      </c>
      <c r="O10">
        <f t="shared" si="0"/>
        <v>699.98</v>
      </c>
      <c r="Q10" t="s">
        <v>80</v>
      </c>
      <c r="R10" t="s">
        <v>128</v>
      </c>
      <c r="S10" t="s">
        <v>129</v>
      </c>
      <c r="T10" t="s">
        <v>82</v>
      </c>
      <c r="U10" t="s">
        <v>83</v>
      </c>
      <c r="V10" t="s">
        <v>84</v>
      </c>
      <c r="W10" t="s">
        <v>85</v>
      </c>
      <c r="X10" t="s">
        <v>40</v>
      </c>
      <c r="Y10" t="s">
        <v>41</v>
      </c>
    </row>
    <row r="11" spans="1:25" x14ac:dyDescent="0.25">
      <c r="A11" t="s">
        <v>130</v>
      </c>
      <c r="B11" t="s">
        <v>131</v>
      </c>
      <c r="D11" t="s">
        <v>132</v>
      </c>
      <c r="E11" t="s">
        <v>133</v>
      </c>
      <c r="G11" t="s">
        <v>134</v>
      </c>
      <c r="I11" t="s">
        <v>77</v>
      </c>
      <c r="K11" t="s">
        <v>31</v>
      </c>
      <c r="M11" t="s">
        <v>135</v>
      </c>
      <c r="O11">
        <f t="shared" si="0"/>
        <v>269.96999999999997</v>
      </c>
      <c r="Q11" t="s">
        <v>96</v>
      </c>
      <c r="R11" t="s">
        <v>136</v>
      </c>
      <c r="S11" t="s">
        <v>35</v>
      </c>
      <c r="T11" t="s">
        <v>54</v>
      </c>
      <c r="U11" t="s">
        <v>137</v>
      </c>
      <c r="V11" t="s">
        <v>55</v>
      </c>
      <c r="W11" t="s">
        <v>99</v>
      </c>
      <c r="X11" t="s">
        <v>40</v>
      </c>
      <c r="Y11" t="s">
        <v>41</v>
      </c>
    </row>
    <row r="12" spans="1:25" x14ac:dyDescent="0.25">
      <c r="A12" t="s">
        <v>138</v>
      </c>
      <c r="B12" t="s">
        <v>139</v>
      </c>
      <c r="D12" t="s">
        <v>140</v>
      </c>
      <c r="E12" t="s">
        <v>141</v>
      </c>
      <c r="G12" t="s">
        <v>142</v>
      </c>
      <c r="I12" t="s">
        <v>143</v>
      </c>
      <c r="K12" t="s">
        <v>144</v>
      </c>
      <c r="M12" t="s">
        <v>145</v>
      </c>
      <c r="O12">
        <f t="shared" si="0"/>
        <v>159.97999999999999</v>
      </c>
      <c r="Q12" t="s">
        <v>146</v>
      </c>
      <c r="R12" t="s">
        <v>147</v>
      </c>
      <c r="S12" t="s">
        <v>35</v>
      </c>
      <c r="T12" t="s">
        <v>148</v>
      </c>
      <c r="U12" t="s">
        <v>37</v>
      </c>
      <c r="V12" t="s">
        <v>149</v>
      </c>
      <c r="W12" t="s">
        <v>39</v>
      </c>
      <c r="X12" t="s">
        <v>150</v>
      </c>
      <c r="Y12" t="s">
        <v>71</v>
      </c>
    </row>
    <row r="13" spans="1:25" x14ac:dyDescent="0.25">
      <c r="A13" t="s">
        <v>151</v>
      </c>
      <c r="B13" t="s">
        <v>152</v>
      </c>
      <c r="D13" t="s">
        <v>153</v>
      </c>
      <c r="E13" t="s">
        <v>154</v>
      </c>
      <c r="G13" t="s">
        <v>155</v>
      </c>
      <c r="I13" t="s">
        <v>64</v>
      </c>
      <c r="K13" t="s">
        <v>31</v>
      </c>
      <c r="M13" t="s">
        <v>66</v>
      </c>
      <c r="O13">
        <f t="shared" si="0"/>
        <v>120</v>
      </c>
      <c r="Q13" t="s">
        <v>33</v>
      </c>
      <c r="R13" t="s">
        <v>156</v>
      </c>
      <c r="S13" t="s">
        <v>35</v>
      </c>
      <c r="T13" t="s">
        <v>109</v>
      </c>
      <c r="U13" t="s">
        <v>110</v>
      </c>
      <c r="V13" t="s">
        <v>84</v>
      </c>
      <c r="X13" t="s">
        <v>157</v>
      </c>
      <c r="Y13" t="s">
        <v>158</v>
      </c>
    </row>
    <row r="14" spans="1:25" x14ac:dyDescent="0.25">
      <c r="A14" t="s">
        <v>159</v>
      </c>
      <c r="B14" t="s">
        <v>160</v>
      </c>
      <c r="D14" t="s">
        <v>161</v>
      </c>
      <c r="E14" t="s">
        <v>162</v>
      </c>
      <c r="G14" t="s">
        <v>163</v>
      </c>
      <c r="I14" t="s">
        <v>92</v>
      </c>
      <c r="K14" t="s">
        <v>65</v>
      </c>
      <c r="M14" t="s">
        <v>164</v>
      </c>
      <c r="O14">
        <f t="shared" si="0"/>
        <v>0</v>
      </c>
      <c r="Q14" t="s">
        <v>96</v>
      </c>
      <c r="R14" t="s">
        <v>97</v>
      </c>
      <c r="S14" t="s">
        <v>35</v>
      </c>
      <c r="T14" t="s">
        <v>54</v>
      </c>
      <c r="U14" t="s">
        <v>137</v>
      </c>
      <c r="V14" t="s">
        <v>55</v>
      </c>
      <c r="W14" t="s">
        <v>165</v>
      </c>
      <c r="X14" t="s">
        <v>40</v>
      </c>
      <c r="Y14" t="s">
        <v>101</v>
      </c>
    </row>
    <row r="15" spans="1:25" x14ac:dyDescent="0.25">
      <c r="A15" t="s">
        <v>166</v>
      </c>
      <c r="B15" t="s">
        <v>167</v>
      </c>
      <c r="D15" t="s">
        <v>168</v>
      </c>
      <c r="E15" t="s">
        <v>169</v>
      </c>
      <c r="G15" t="s">
        <v>170</v>
      </c>
      <c r="I15" t="s">
        <v>171</v>
      </c>
      <c r="K15" t="s">
        <v>172</v>
      </c>
      <c r="M15" t="s">
        <v>172</v>
      </c>
      <c r="O15">
        <f t="shared" si="0"/>
        <v>349.99</v>
      </c>
      <c r="Q15" t="s">
        <v>80</v>
      </c>
      <c r="R15" t="s">
        <v>173</v>
      </c>
      <c r="S15" t="s">
        <v>35</v>
      </c>
      <c r="T15" t="s">
        <v>82</v>
      </c>
      <c r="U15" t="s">
        <v>83</v>
      </c>
      <c r="V15" t="s">
        <v>84</v>
      </c>
      <c r="W15" t="s">
        <v>56</v>
      </c>
      <c r="X15" t="s">
        <v>40</v>
      </c>
      <c r="Y15" t="s">
        <v>41</v>
      </c>
    </row>
    <row r="16" spans="1:25" x14ac:dyDescent="0.25">
      <c r="A16" t="s">
        <v>174</v>
      </c>
      <c r="B16" t="s">
        <v>175</v>
      </c>
      <c r="D16" t="s">
        <v>176</v>
      </c>
      <c r="E16" t="s">
        <v>177</v>
      </c>
      <c r="G16" t="s">
        <v>178</v>
      </c>
      <c r="I16" t="s">
        <v>77</v>
      </c>
      <c r="K16" t="s">
        <v>65</v>
      </c>
      <c r="M16" t="s">
        <v>79</v>
      </c>
      <c r="O16">
        <f t="shared" si="0"/>
        <v>1299.99</v>
      </c>
      <c r="Q16" t="s">
        <v>179</v>
      </c>
      <c r="R16" t="s">
        <v>180</v>
      </c>
      <c r="S16" t="s">
        <v>181</v>
      </c>
      <c r="T16" t="s">
        <v>36</v>
      </c>
      <c r="U16" t="s">
        <v>37</v>
      </c>
      <c r="V16" t="s">
        <v>182</v>
      </c>
      <c r="W16" t="s">
        <v>85</v>
      </c>
      <c r="X16" t="s">
        <v>40</v>
      </c>
      <c r="Y16" t="s">
        <v>183</v>
      </c>
    </row>
    <row r="17" spans="1:25" x14ac:dyDescent="0.25">
      <c r="A17" t="s">
        <v>184</v>
      </c>
      <c r="E17" t="s">
        <v>185</v>
      </c>
      <c r="G17" t="s">
        <v>186</v>
      </c>
      <c r="I17" t="s">
        <v>30</v>
      </c>
      <c r="K17" t="s">
        <v>65</v>
      </c>
      <c r="M17" t="s">
        <v>187</v>
      </c>
      <c r="O17">
        <f t="shared" si="0"/>
        <v>239.96999999999997</v>
      </c>
      <c r="Q17" t="s">
        <v>67</v>
      </c>
      <c r="R17" t="s">
        <v>68</v>
      </c>
      <c r="S17" t="s">
        <v>35</v>
      </c>
      <c r="U17" t="s">
        <v>188</v>
      </c>
      <c r="V17" t="s">
        <v>55</v>
      </c>
      <c r="W17" t="s">
        <v>99</v>
      </c>
      <c r="Y17" t="s">
        <v>41</v>
      </c>
    </row>
    <row r="18" spans="1:25" x14ac:dyDescent="0.25">
      <c r="A18" t="s">
        <v>25</v>
      </c>
      <c r="B18" t="s">
        <v>26</v>
      </c>
      <c r="D18" t="s">
        <v>189</v>
      </c>
      <c r="E18" t="s">
        <v>28</v>
      </c>
      <c r="G18" t="s">
        <v>190</v>
      </c>
      <c r="I18" t="s">
        <v>64</v>
      </c>
      <c r="K18" t="s">
        <v>144</v>
      </c>
      <c r="M18" t="s">
        <v>66</v>
      </c>
      <c r="O18">
        <f t="shared" si="0"/>
        <v>-59.98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</row>
    <row r="19" spans="1:25" x14ac:dyDescent="0.25">
      <c r="A19" t="s">
        <v>191</v>
      </c>
      <c r="B19" t="s">
        <v>192</v>
      </c>
      <c r="D19" t="s">
        <v>193</v>
      </c>
      <c r="E19" t="s">
        <v>194</v>
      </c>
      <c r="G19" t="s">
        <v>195</v>
      </c>
      <c r="I19" t="s">
        <v>49</v>
      </c>
      <c r="K19" t="s">
        <v>31</v>
      </c>
      <c r="M19" t="s">
        <v>196</v>
      </c>
      <c r="O19">
        <f t="shared" si="0"/>
        <v>1299.99</v>
      </c>
      <c r="Q19" t="s">
        <v>96</v>
      </c>
      <c r="R19" t="s">
        <v>197</v>
      </c>
      <c r="S19" t="s">
        <v>35</v>
      </c>
      <c r="T19" t="s">
        <v>54</v>
      </c>
      <c r="U19" t="s">
        <v>137</v>
      </c>
      <c r="V19" t="s">
        <v>84</v>
      </c>
      <c r="W19" t="s">
        <v>56</v>
      </c>
      <c r="X19" t="s">
        <v>40</v>
      </c>
      <c r="Y19" t="s">
        <v>198</v>
      </c>
    </row>
    <row r="20" spans="1:25" x14ac:dyDescent="0.25">
      <c r="A20" t="s">
        <v>199</v>
      </c>
      <c r="B20" t="s">
        <v>200</v>
      </c>
      <c r="D20" t="s">
        <v>201</v>
      </c>
      <c r="E20" t="s">
        <v>202</v>
      </c>
      <c r="G20" t="s">
        <v>203</v>
      </c>
      <c r="I20" t="s">
        <v>204</v>
      </c>
      <c r="K20" t="s">
        <v>65</v>
      </c>
      <c r="M20" t="s">
        <v>187</v>
      </c>
      <c r="O20" t="str">
        <f t="shared" ca="1" si="0"/>
        <v/>
      </c>
      <c r="Q20" t="s">
        <v>80</v>
      </c>
      <c r="R20" t="s">
        <v>205</v>
      </c>
      <c r="S20" t="s">
        <v>35</v>
      </c>
      <c r="T20" t="s">
        <v>82</v>
      </c>
      <c r="U20" t="s">
        <v>83</v>
      </c>
      <c r="V20" t="s">
        <v>84</v>
      </c>
      <c r="W20" t="s">
        <v>85</v>
      </c>
      <c r="X20" t="s">
        <v>40</v>
      </c>
      <c r="Y20" t="s">
        <v>41</v>
      </c>
    </row>
    <row r="21" spans="1:25" x14ac:dyDescent="0.25">
      <c r="A21" t="s">
        <v>206</v>
      </c>
      <c r="K21" t="str">
        <f ca="1">SUM(K3:K21)</f>
        <v/>
      </c>
      <c r="O21" t="e">
        <f>SUM(O3:O21)</f>
        <v>#VALUE!</v>
      </c>
    </row>
    <row r="22" spans="1:25" x14ac:dyDescent="0.25">
      <c r="A22" t="s">
        <v>207</v>
      </c>
      <c r="B22" t="s">
        <v>208</v>
      </c>
      <c r="D22" t="s">
        <v>209</v>
      </c>
      <c r="E22" t="s">
        <v>210</v>
      </c>
      <c r="G22" t="s">
        <v>211</v>
      </c>
      <c r="I22" t="s">
        <v>212</v>
      </c>
      <c r="K22" t="s">
        <v>213</v>
      </c>
      <c r="M22" t="s">
        <v>214</v>
      </c>
      <c r="P22" t="s">
        <v>215</v>
      </c>
      <c r="R22" t="s">
        <v>216</v>
      </c>
      <c r="S22" t="s">
        <v>217</v>
      </c>
      <c r="T22" t="s">
        <v>218</v>
      </c>
      <c r="U22" t="s">
        <v>219</v>
      </c>
      <c r="V22" t="s">
        <v>220</v>
      </c>
      <c r="W22" t="s">
        <v>221</v>
      </c>
      <c r="X22" t="s">
        <v>222</v>
      </c>
      <c r="Y22" t="s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sheetData>
    <row r="1" spans="1:4" x14ac:dyDescent="0.25">
      <c r="A1" t="s">
        <v>224</v>
      </c>
      <c r="B1" t="s">
        <v>225</v>
      </c>
      <c r="C1" t="s">
        <v>226</v>
      </c>
      <c r="D1" t="s">
        <v>227</v>
      </c>
    </row>
    <row r="2" spans="1:4" x14ac:dyDescent="0.25">
      <c r="A2" t="s">
        <v>30</v>
      </c>
      <c r="B2" t="s">
        <v>228</v>
      </c>
      <c r="C2">
        <v>1299.99</v>
      </c>
      <c r="D2" t="s">
        <v>229</v>
      </c>
    </row>
    <row r="3" spans="1:4" x14ac:dyDescent="0.25">
      <c r="A3" t="s">
        <v>230</v>
      </c>
      <c r="B3" t="s">
        <v>228</v>
      </c>
      <c r="C3">
        <v>1299.99</v>
      </c>
      <c r="D3" t="s">
        <v>229</v>
      </c>
    </row>
    <row r="4" spans="1:4" x14ac:dyDescent="0.25">
      <c r="A4" t="s">
        <v>49</v>
      </c>
      <c r="B4" t="s">
        <v>231</v>
      </c>
      <c r="C4">
        <v>29.99</v>
      </c>
      <c r="D4" t="s">
        <v>232</v>
      </c>
    </row>
    <row r="5" spans="1:4" x14ac:dyDescent="0.25">
      <c r="A5" t="s">
        <v>64</v>
      </c>
      <c r="B5" t="s">
        <v>233</v>
      </c>
      <c r="C5">
        <v>79.989999999999995</v>
      </c>
      <c r="D5" t="s">
        <v>234</v>
      </c>
    </row>
    <row r="6" spans="1:4" x14ac:dyDescent="0.25">
      <c r="A6" t="s">
        <v>77</v>
      </c>
      <c r="B6" t="s">
        <v>235</v>
      </c>
      <c r="C6">
        <v>349.99</v>
      </c>
      <c r="D6" t="s">
        <v>236</v>
      </c>
    </row>
    <row r="7" spans="1:4" x14ac:dyDescent="0.25">
      <c r="A7" t="s">
        <v>92</v>
      </c>
      <c r="B7" t="s">
        <v>231</v>
      </c>
      <c r="C7">
        <v>120</v>
      </c>
      <c r="D7" t="s">
        <v>237</v>
      </c>
    </row>
    <row r="8" spans="1:4" x14ac:dyDescent="0.25">
      <c r="A8" t="s">
        <v>106</v>
      </c>
      <c r="B8" t="s">
        <v>231</v>
      </c>
      <c r="C8">
        <v>89.99</v>
      </c>
      <c r="D8" t="s">
        <v>238</v>
      </c>
    </row>
    <row r="9" spans="1:4" x14ac:dyDescent="0.25">
      <c r="A9" t="s">
        <v>204</v>
      </c>
      <c r="B9" t="s">
        <v>228</v>
      </c>
      <c r="C9">
        <v>1299.99</v>
      </c>
      <c r="D9" t="s">
        <v>229</v>
      </c>
    </row>
    <row r="10" spans="1:4" x14ac:dyDescent="0.25">
      <c r="A10" t="s">
        <v>117</v>
      </c>
      <c r="B10" t="s">
        <v>239</v>
      </c>
      <c r="C10">
        <v>599.99</v>
      </c>
      <c r="D10" t="s">
        <v>240</v>
      </c>
    </row>
    <row r="11" spans="1:4" x14ac:dyDescent="0.25">
      <c r="A11" t="s">
        <v>171</v>
      </c>
      <c r="B11" t="s">
        <v>233</v>
      </c>
      <c r="C11">
        <v>19.989999999999998</v>
      </c>
      <c r="D11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Sales_Data_RAW</vt:lpstr>
      <vt:lpstr>Product_Lookup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Thompson, Sunanda I</cp:lastModifiedBy>
  <dcterms:created xsi:type="dcterms:W3CDTF">2026-03-23T17:56:13Z</dcterms:created>
  <dcterms:modified xsi:type="dcterms:W3CDTF">2026-03-25T22:48:49Z</dcterms:modified>
</cp:coreProperties>
</file>